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3"/>
  <workbookPr hidePivotFieldList="1" defaultThemeVersion="166925"/>
  <xr:revisionPtr revIDLastSave="100" documentId="11_59442BC3ADFCDE8967613BC65B0958EC902A0173" xr6:coauthVersionLast="47" xr6:coauthVersionMax="47" xr10:uidLastSave="{42EF0CE8-5E9B-4EF0-9C49-F18647EC1930}"/>
  <bookViews>
    <workbookView xWindow="0" yWindow="0" windowWidth="16384" windowHeight="8192" tabRatio="500" xr2:uid="{00000000-000D-0000-FFFF-FFFF00000000}"/>
  </bookViews>
  <sheets>
    <sheet name="Equality Table" sheetId="1" r:id="rId1"/>
    <sheet name="PT1 - Factory Analysis" sheetId="2" r:id="rId2"/>
    <sheet name="PT2 - Job Role Analysis" sheetId="3" r:id="rId3"/>
  </sheets>
  <calcPr calcId="191028"/>
  <pivotCaches>
    <pivotCache cacheId="806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CalcA1"/>
    </ext>
  </extLst>
</workbook>
</file>

<file path=xl/calcChain.xml><?xml version="1.0" encoding="utf-8"?>
<calcChain xmlns="http://schemas.openxmlformats.org/spreadsheetml/2006/main">
  <c r="G3" i="1" l="1" a="1"/>
  <c r="G3" i="1"/>
  <c r="G2" i="1" a="1"/>
  <c r="G2" i="1"/>
  <c r="G4" i="1" a="1"/>
  <c r="G4" i="1"/>
  <c r="G5" i="1" a="1"/>
  <c r="G5" i="1"/>
  <c r="G6" i="1" a="1"/>
  <c r="G6" i="1"/>
  <c r="G7" i="1" a="1"/>
  <c r="G7" i="1"/>
  <c r="G8" i="1" a="1"/>
  <c r="G8" i="1"/>
  <c r="G9" i="1" a="1"/>
  <c r="G9" i="1"/>
  <c r="G10" i="1" a="1"/>
  <c r="G10" i="1"/>
  <c r="G11" i="1" a="1"/>
  <c r="G11" i="1"/>
  <c r="G12" i="1" a="1"/>
  <c r="G12" i="1"/>
  <c r="G13" i="1" a="1"/>
  <c r="G13" i="1"/>
  <c r="G14" i="1" a="1"/>
  <c r="G14" i="1"/>
  <c r="G15" i="1" a="1"/>
  <c r="G15" i="1"/>
  <c r="G16" i="1" a="1"/>
  <c r="G16" i="1"/>
  <c r="G17" i="1" a="1"/>
  <c r="G17" i="1"/>
  <c r="G18" i="1" a="1"/>
  <c r="G18" i="1"/>
  <c r="G19" i="1" a="1"/>
  <c r="G19" i="1"/>
  <c r="G20" i="1" a="1"/>
  <c r="G20" i="1"/>
  <c r="G21" i="1" a="1"/>
  <c r="G21" i="1"/>
  <c r="G22" i="1" a="1"/>
  <c r="G22" i="1"/>
  <c r="G23" i="1" a="1"/>
  <c r="G23" i="1"/>
  <c r="G24" i="1" a="1"/>
  <c r="G24" i="1"/>
  <c r="G25" i="1" a="1"/>
  <c r="G25" i="1"/>
  <c r="G26" i="1" a="1"/>
  <c r="G26" i="1"/>
  <c r="G27" i="1" a="1"/>
  <c r="G27" i="1"/>
  <c r="G28" i="1" a="1"/>
  <c r="G28" i="1"/>
  <c r="G29" i="1" a="1"/>
  <c r="G29" i="1"/>
  <c r="G30" i="1" a="1"/>
  <c r="G30" i="1"/>
  <c r="G31" i="1" a="1"/>
  <c r="G31" i="1"/>
  <c r="G32" i="1" a="1"/>
  <c r="G32" i="1"/>
  <c r="G33" i="1" a="1"/>
  <c r="G33" i="1"/>
  <c r="G34" i="1" a="1"/>
  <c r="G34" i="1"/>
  <c r="G35" i="1" a="1"/>
  <c r="G35" i="1"/>
  <c r="G36" i="1" a="1"/>
  <c r="G36" i="1"/>
  <c r="G37" i="1" a="1"/>
  <c r="G37" i="1"/>
  <c r="G38" i="1" a="1"/>
  <c r="G38" i="1"/>
  <c r="D3" i="1" a="1"/>
  <c r="D3" i="1"/>
  <c r="D4" i="1" a="1"/>
  <c r="D4" i="1"/>
  <c r="D5" i="1" a="1"/>
  <c r="D5" i="1"/>
  <c r="D6" i="1" a="1"/>
  <c r="D6" i="1"/>
  <c r="D7" i="1" a="1"/>
  <c r="D7" i="1"/>
  <c r="D8" i="1" a="1"/>
  <c r="D8" i="1"/>
  <c r="D9" i="1" a="1"/>
  <c r="D9" i="1"/>
  <c r="D10" i="1" a="1"/>
  <c r="D10" i="1"/>
  <c r="D11" i="1" a="1"/>
  <c r="D11" i="1"/>
  <c r="D12" i="1" a="1"/>
  <c r="D12" i="1"/>
  <c r="D13" i="1" a="1"/>
  <c r="D13" i="1"/>
  <c r="D14" i="1" a="1"/>
  <c r="D14" i="1"/>
  <c r="D15" i="1" a="1"/>
  <c r="D15" i="1"/>
  <c r="D16" i="1" a="1"/>
  <c r="D16" i="1"/>
  <c r="D17" i="1" a="1"/>
  <c r="D17" i="1"/>
  <c r="D18" i="1" a="1"/>
  <c r="D18" i="1"/>
  <c r="D19" i="1" a="1"/>
  <c r="D19" i="1"/>
  <c r="D20" i="1" a="1"/>
  <c r="D20" i="1"/>
  <c r="D21" i="1" a="1"/>
  <c r="D21" i="1"/>
  <c r="D22" i="1" a="1"/>
  <c r="D22" i="1"/>
  <c r="D23" i="1" a="1"/>
  <c r="D23" i="1"/>
  <c r="D24" i="1" a="1"/>
  <c r="D24" i="1"/>
  <c r="D25" i="1" a="1"/>
  <c r="D25" i="1"/>
  <c r="D26" i="1" a="1"/>
  <c r="D26" i="1"/>
  <c r="D27" i="1" a="1"/>
  <c r="D27" i="1"/>
  <c r="D28" i="1" a="1"/>
  <c r="D28" i="1"/>
  <c r="D29" i="1" a="1"/>
  <c r="D29" i="1"/>
  <c r="D30" i="1" a="1"/>
  <c r="D30" i="1"/>
  <c r="D31" i="1" a="1"/>
  <c r="D31" i="1"/>
  <c r="D32" i="1" a="1"/>
  <c r="D32" i="1"/>
  <c r="D33" i="1" a="1"/>
  <c r="D33" i="1"/>
  <c r="D34" i="1" a="1"/>
  <c r="D34" i="1"/>
  <c r="D35" i="1" a="1"/>
  <c r="D35" i="1"/>
  <c r="D36" i="1" a="1"/>
  <c r="D36" i="1"/>
  <c r="D37" i="1" a="1"/>
  <c r="D37" i="1"/>
  <c r="D38" i="1" a="1"/>
  <c r="D38" i="1"/>
  <c r="D2" i="1" a="1"/>
  <c r="D2" i="1"/>
  <c r="E2" i="1" l="1"/>
  <c r="F2" i="1" a="1"/>
  <c r="F2" i="1" s="1"/>
  <c r="E38" i="1"/>
  <c r="F38" i="1" a="1"/>
  <c r="F38" i="1" s="1"/>
  <c r="E37" i="1"/>
  <c r="F37" i="1" a="1"/>
  <c r="F37" i="1" s="1"/>
  <c r="E36" i="1"/>
  <c r="F36" i="1" a="1"/>
  <c r="F36" i="1" s="1"/>
  <c r="E35" i="1"/>
  <c r="F35" i="1" a="1"/>
  <c r="F35" i="1" s="1"/>
  <c r="E34" i="1"/>
  <c r="F34" i="1" a="1"/>
  <c r="F34" i="1" s="1"/>
  <c r="E33" i="1"/>
  <c r="F33" i="1" a="1"/>
  <c r="F33" i="1" s="1"/>
  <c r="E32" i="1"/>
  <c r="F32" i="1" a="1"/>
  <c r="F32" i="1" s="1"/>
  <c r="E31" i="1"/>
  <c r="F31" i="1" a="1"/>
  <c r="F31" i="1" s="1"/>
  <c r="E30" i="1"/>
  <c r="F30" i="1" a="1"/>
  <c r="F30" i="1" s="1"/>
  <c r="E29" i="1"/>
  <c r="F29" i="1" a="1"/>
  <c r="F29" i="1" s="1"/>
  <c r="E28" i="1"/>
  <c r="F28" i="1" a="1"/>
  <c r="F28" i="1" s="1"/>
  <c r="E27" i="1"/>
  <c r="F27" i="1" a="1"/>
  <c r="F27" i="1" s="1"/>
  <c r="E26" i="1"/>
  <c r="F26" i="1" a="1"/>
  <c r="F26" i="1" s="1"/>
  <c r="E25" i="1"/>
  <c r="F25" i="1" a="1"/>
  <c r="F25" i="1" s="1"/>
  <c r="E24" i="1"/>
  <c r="F24" i="1" a="1"/>
  <c r="F24" i="1" s="1"/>
  <c r="E23" i="1"/>
  <c r="F23" i="1" a="1"/>
  <c r="F23" i="1" s="1"/>
  <c r="E22" i="1"/>
  <c r="F22" i="1" a="1"/>
  <c r="F22" i="1" s="1"/>
  <c r="E21" i="1"/>
  <c r="F21" i="1" a="1"/>
  <c r="F21" i="1" s="1"/>
  <c r="E20" i="1"/>
  <c r="F20" i="1" a="1"/>
  <c r="F20" i="1" s="1"/>
  <c r="E19" i="1"/>
  <c r="F19" i="1" a="1"/>
  <c r="F19" i="1" s="1"/>
  <c r="E18" i="1"/>
  <c r="F18" i="1" a="1"/>
  <c r="F18" i="1" s="1"/>
  <c r="E17" i="1"/>
  <c r="F17" i="1" a="1"/>
  <c r="F17" i="1" s="1"/>
  <c r="E16" i="1"/>
  <c r="F16" i="1" a="1"/>
  <c r="F16" i="1" s="1"/>
  <c r="E15" i="1"/>
  <c r="F15" i="1" a="1"/>
  <c r="F15" i="1" s="1"/>
  <c r="E14" i="1"/>
  <c r="F14" i="1" a="1"/>
  <c r="F14" i="1" s="1"/>
  <c r="E13" i="1"/>
  <c r="F13" i="1" a="1"/>
  <c r="F13" i="1" s="1"/>
  <c r="E12" i="1"/>
  <c r="F12" i="1" a="1"/>
  <c r="F12" i="1" s="1"/>
  <c r="E11" i="1"/>
  <c r="F11" i="1" a="1"/>
  <c r="F11" i="1" s="1"/>
  <c r="E10" i="1"/>
  <c r="F10" i="1" a="1"/>
  <c r="F10" i="1" s="1"/>
  <c r="E9" i="1"/>
  <c r="F9" i="1" a="1"/>
  <c r="F9" i="1" s="1"/>
  <c r="E8" i="1"/>
  <c r="F8" i="1" a="1"/>
  <c r="F8" i="1" s="1"/>
  <c r="E7" i="1"/>
  <c r="F7" i="1" a="1"/>
  <c r="F7" i="1" s="1"/>
  <c r="E6" i="1"/>
  <c r="F6" i="1" a="1"/>
  <c r="F6" i="1" s="1"/>
  <c r="E5" i="1"/>
  <c r="F5" i="1" a="1"/>
  <c r="F5" i="1" s="1"/>
  <c r="E4" i="1"/>
  <c r="F4" i="1" a="1"/>
  <c r="F4" i="1" s="1"/>
  <c r="E3" i="1"/>
  <c r="F3" i="1" a="1"/>
  <c r="F3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<sst xmlns="http://schemas.openxmlformats.org/spreadsheetml/2006/main" count="119" uniqueCount="34">
  <si>
    <t>Factory</t>
  </si>
  <si>
    <t>Job Role</t>
  </si>
  <si>
    <t>Equality Score</t>
  </si>
  <si>
    <t>Equality class</t>
  </si>
  <si>
    <t>Risk Flag</t>
  </si>
  <si>
    <t>Priority Score</t>
  </si>
  <si>
    <t>Recommended Action</t>
  </si>
  <si>
    <t>Daikibo Factory Meiyo</t>
  </si>
  <si>
    <t>C-Level</t>
  </si>
  <si>
    <t>aset</t>
  </si>
  <si>
    <t>VP</t>
  </si>
  <si>
    <t>Director</t>
  </si>
  <si>
    <t>Sr. Manager</t>
  </si>
  <si>
    <t>Manager</t>
  </si>
  <si>
    <t>Jr. Manager</t>
  </si>
  <si>
    <t>Sr. Engineer</t>
  </si>
  <si>
    <t>Engineer</t>
  </si>
  <si>
    <t>Jr. Engineer</t>
  </si>
  <si>
    <t>Operational Support</t>
  </si>
  <si>
    <t>Machine Operator</t>
  </si>
  <si>
    <t>Daikibo Factory Seiko</t>
  </si>
  <si>
    <t>Daikibo Berlin</t>
  </si>
  <si>
    <t>Daikibo Shenzhen</t>
  </si>
  <si>
    <t>Count of Equality class</t>
  </si>
  <si>
    <t>Fair</t>
  </si>
  <si>
    <t>Unfair</t>
  </si>
  <si>
    <t>Daikibo Berlin Total</t>
  </si>
  <si>
    <t>Highly Discriminative</t>
  </si>
  <si>
    <t>Daikibo Factory Meiyo Total</t>
  </si>
  <si>
    <t>Daikibo Factory Seiko Total</t>
  </si>
  <si>
    <t>Daikibo Shenzhen Total</t>
  </si>
  <si>
    <t>Grand Total</t>
  </si>
  <si>
    <t>Average of Equality Score</t>
  </si>
  <si>
    <t>Max of Priority 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</si>
</sst>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>
    <font>
      <sz val="10"/>
      <name val="Arial"/>
      <family val="2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</fills>
  <borders count="3">
    <border>
      <left/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1" fillId="2" borderId="0" xfId="0" applyFont="1" applyFill="1" applyBorder="1"/>
    <xf numFmtId="0" fontId="0" fillId="0" borderId="0" xfId="0" applyBorder="1"/>
    <xf numFmtId="0" fontId="0" fillId="0" borderId="0" xfId="0" pivotButton="1"/>
    <xf numFmtId="0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17">
    <dxf>
      <numFmt numFmtId="0" formatCode="General"/>
    </dxf>
    <dxf>
      <numFmt numFmtId="0" formatCode="General"/>
    </dxf>
    <dxf>
      <numFmt numFmtId="0" formatCode="General"/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color rgb="FF006100"/>
      </font>
      <fill>
        <patternFill>
          <bgColor rgb="FFC6EFCE"/>
        </patternFill>
      </fill>
    </dxf>
    <dxf>
      <font>
        <color theme="5" tint="-0.499984740745262"/>
      </font>
      <fill>
        <patternFill patternType="solid">
          <bgColor theme="5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 patternType="solid">
          <bgColor theme="5" tint="0.59999389629810485"/>
        </patternFill>
      </fill>
    </dxf>
    <dxf>
      <font>
        <color rgb="FFC65911"/>
      </font>
      <fill>
        <patternFill patternType="solid">
          <bgColor theme="5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numFmt numFmtId="164" formatCode="0.0"/>
    </dxf>
    <dxf>
      <numFmt numFmtId="164" formatCode="0.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[Equality Table.xlsx]PT2 - Job Role Analysis!PT2 - Job Role Analysis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u="none" strike="noStrike" kern="1200" spc="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Equality Score &amp; Priority by Job Role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spc="0" baseline="0">
              <a:solidFill>
                <a:srgbClr val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'PT2 - Job Role Analysis'!$B$3</c:f>
              <c:strCache>
                <c:ptCount val="1"/>
                <c:pt idx="0">
                  <c:v>Average of Equality Score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'PT2 - Job Role Analysis'!$A$4:$A$15</c:f>
              <c:strCache>
                <c:ptCount val="11"/>
                <c:pt idx="0">
                  <c:v>C-Level</c:v>
                </c:pt>
                <c:pt idx="1">
                  <c:v>VP</c:v>
                </c:pt>
                <c:pt idx="2">
                  <c:v>Jr. Manager</c:v>
                </c:pt>
                <c:pt idx="3">
                  <c:v>Sr. Manager</c:v>
                </c:pt>
                <c:pt idx="4">
                  <c:v>Manager</c:v>
                </c:pt>
                <c:pt idx="5">
                  <c:v>Director</c:v>
                </c:pt>
                <c:pt idx="6">
                  <c:v>Operational Support</c:v>
                </c:pt>
                <c:pt idx="7">
                  <c:v>Machine Operator</c:v>
                </c:pt>
                <c:pt idx="8">
                  <c:v>Engineer</c:v>
                </c:pt>
                <c:pt idx="9">
                  <c:v>Sr. Engineer</c:v>
                </c:pt>
                <c:pt idx="10">
                  <c:v>Jr. Engineer</c:v>
                </c:pt>
              </c:strCache>
            </c:strRef>
          </c:cat>
          <c:val>
            <c:numRef>
              <c:f>'PT2 - Job Role Analysis'!$B$4:$B$15</c:f>
              <c:numCache>
                <c:formatCode>0.0</c:formatCode>
                <c:ptCount val="11"/>
                <c:pt idx="0">
                  <c:v>-25</c:v>
                </c:pt>
                <c:pt idx="1">
                  <c:v>-22.5</c:v>
                </c:pt>
                <c:pt idx="2">
                  <c:v>-20.25</c:v>
                </c:pt>
                <c:pt idx="3">
                  <c:v>-18</c:v>
                </c:pt>
                <c:pt idx="4">
                  <c:v>-17.5</c:v>
                </c:pt>
                <c:pt idx="5">
                  <c:v>-14.5</c:v>
                </c:pt>
                <c:pt idx="6">
                  <c:v>-12</c:v>
                </c:pt>
                <c:pt idx="7">
                  <c:v>-6.25</c:v>
                </c:pt>
                <c:pt idx="8">
                  <c:v>-4.25</c:v>
                </c:pt>
                <c:pt idx="9">
                  <c:v>-2.5</c:v>
                </c:pt>
                <c:pt idx="10">
                  <c:v>3.5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8DD-4578-91FC-DBF208224612}"/>
            </c:ext>
          </c:extLst>
        </c:ser>
        <c:ser>
          <c:idx val="1"/>
          <c:order val="1"/>
          <c:tx>
            <c:strRef>
              <c:f>'PT2 - Job Role Analysis'!$C$3</c:f>
              <c:strCache>
                <c:ptCount val="1"/>
                <c:pt idx="0">
                  <c:v>Max of Priority Score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'PT2 - Job Role Analysis'!$A$4:$A$15</c:f>
              <c:strCache>
                <c:ptCount val="11"/>
                <c:pt idx="0">
                  <c:v>C-Level</c:v>
                </c:pt>
                <c:pt idx="1">
                  <c:v>VP</c:v>
                </c:pt>
                <c:pt idx="2">
                  <c:v>Jr. Manager</c:v>
                </c:pt>
                <c:pt idx="3">
                  <c:v>Sr. Manager</c:v>
                </c:pt>
                <c:pt idx="4">
                  <c:v>Manager</c:v>
                </c:pt>
                <c:pt idx="5">
                  <c:v>Director</c:v>
                </c:pt>
                <c:pt idx="6">
                  <c:v>Operational Support</c:v>
                </c:pt>
                <c:pt idx="7">
                  <c:v>Machine Operator</c:v>
                </c:pt>
                <c:pt idx="8">
                  <c:v>Engineer</c:v>
                </c:pt>
                <c:pt idx="9">
                  <c:v>Sr. Engineer</c:v>
                </c:pt>
                <c:pt idx="10">
                  <c:v>Jr. Engineer</c:v>
                </c:pt>
              </c:strCache>
            </c:strRef>
          </c:cat>
          <c:val>
            <c:numRef>
              <c:f>'PT2 - Job Role Analysis'!$C$4:$C$15</c:f>
              <c:numCache>
                <c:formatCode>General</c:formatCode>
                <c:ptCount val="11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1</c:v>
                </c:pt>
                <c:pt idx="6">
                  <c:v>2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8DD-4578-91FC-DBF2082246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8139143"/>
        <c:axId val="18149895"/>
      </c:barChart>
      <c:catAx>
        <c:axId val="1813914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high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49895"/>
        <c:crosses val="autoZero"/>
        <c:auto val="1"/>
        <c:lblAlgn val="ctr"/>
        <c:lblOffset val="100"/>
        <c:noMultiLvlLbl val="0"/>
      </c:catAx>
      <c:valAx>
        <c:axId val="181498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391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l"/>
      <c:layout>
        <c:manualLayout>
          <c:xMode val="edge"/>
          <c:yMode val="edge"/>
          <c:x val="2.3144453312051054E-2"/>
          <c:y val="0.17068637508742401"/>
          <c:w val="0.26716110206894528"/>
          <c:h val="0.1405555668009365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rgbClr val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276225</xdr:colOff>
      <xdr:row>1</xdr:row>
      <xdr:rowOff>104775</xdr:rowOff>
    </xdr:from>
    <xdr:to>
      <xdr:col>14</xdr:col>
      <xdr:colOff>390525</xdr:colOff>
      <xdr:row>24</xdr:row>
      <xdr:rowOff>85725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1A1A1DE-B2CB-E4D1-9C9C-9316994A147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142.443106134262" createdVersion="8" refreshedVersion="8" minRefreshableVersion="3" recordCount="37" xr:uid="{8D521813-9CDD-43D7-9DE4-079B8E9DB354}">
  <cacheSource type="worksheet">
    <worksheetSource name="Table1"/>
  </cacheSource>
  <cacheFields count="7">
    <cacheField name="Factory" numFmtId="0">
      <sharedItems count="4">
        <s v="Daikibo Factory Meiyo"/>
        <s v="Daikibo Factory Seiko"/>
        <s v="Daikibo Berlin"/>
        <s v="Daikibo Shenzhen"/>
      </sharedItems>
    </cacheField>
    <cacheField name="Job Role" numFmtId="0">
      <sharedItems count="11">
        <s v="C-Level"/>
        <s v="VP"/>
        <s v="Director"/>
        <s v="Sr. Manager"/>
        <s v="Manager"/>
        <s v="Jr. Manager"/>
        <s v="Sr. Engineer"/>
        <s v="Engineer"/>
        <s v="Jr. Engineer"/>
        <s v="Operational Support"/>
        <s v="Machine Operator"/>
      </sharedItems>
    </cacheField>
    <cacheField name="Equality Score" numFmtId="0">
      <sharedItems containsSemiMixedTypes="0" containsString="0" containsNumber="1" containsInteger="1" minValue="-26" maxValue="4"/>
    </cacheField>
    <cacheField name="Equality class" numFmtId="0">
      <sharedItems count="3">
        <s v="Highly Discriminative"/>
        <s v="Unfair"/>
        <s v="Fair"/>
      </sharedItems>
    </cacheField>
    <cacheField name="Risk Flag" numFmtId="0">
      <sharedItems containsSemiMixedTypes="0" containsString="0" containsNumber="1" containsInteger="1" minValue="0" maxValue="1"/>
    </cacheField>
    <cacheField name="Priority Score" numFmtId="0">
      <sharedItems containsSemiMixedTypes="0" containsString="0" containsNumber="1" containsInteger="1" minValue="0" maxValue="2"/>
    </cacheField>
    <cacheField name="Recommended Action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7">
  <r>
    <x v="0"/>
    <x v="0"/>
    <n v="-25"/>
    <x v="0"/>
    <n v="1"/>
    <n v="2"/>
    <s v="Escalate to HR &amp; Legal"/>
  </r>
  <r>
    <x v="0"/>
    <x v="1"/>
    <n v="-26"/>
    <x v="0"/>
    <n v="1"/>
    <n v="2"/>
    <s v="Escalate to HR &amp; Legal"/>
  </r>
  <r>
    <x v="0"/>
    <x v="2"/>
    <n v="-19"/>
    <x v="1"/>
    <n v="1"/>
    <n v="1"/>
    <s v="Review Immediately"/>
  </r>
  <r>
    <x v="0"/>
    <x v="3"/>
    <n v="-15"/>
    <x v="1"/>
    <n v="1"/>
    <n v="1"/>
    <s v="Review Immediately"/>
  </r>
  <r>
    <x v="0"/>
    <x v="4"/>
    <n v="-14"/>
    <x v="1"/>
    <n v="1"/>
    <n v="1"/>
    <s v="Review Immediately"/>
  </r>
  <r>
    <x v="0"/>
    <x v="5"/>
    <n v="-20"/>
    <x v="1"/>
    <n v="1"/>
    <n v="1"/>
    <s v="Review Immediately"/>
  </r>
  <r>
    <x v="0"/>
    <x v="6"/>
    <n v="-5"/>
    <x v="2"/>
    <n v="0"/>
    <n v="0"/>
    <s v="Monitor Quarterly"/>
  </r>
  <r>
    <x v="0"/>
    <x v="7"/>
    <n v="-8"/>
    <x v="2"/>
    <n v="0"/>
    <n v="0"/>
    <s v="Monitor Quarterly"/>
  </r>
  <r>
    <x v="0"/>
    <x v="8"/>
    <n v="3"/>
    <x v="2"/>
    <n v="0"/>
    <n v="0"/>
    <s v="Monitor Quarterly"/>
  </r>
  <r>
    <x v="0"/>
    <x v="9"/>
    <n v="-22"/>
    <x v="0"/>
    <n v="1"/>
    <n v="2"/>
    <s v="Escalate to HR &amp; Legal"/>
  </r>
  <r>
    <x v="0"/>
    <x v="10"/>
    <n v="-7"/>
    <x v="2"/>
    <n v="0"/>
    <n v="0"/>
    <s v="Monitor Quarterly"/>
  </r>
  <r>
    <x v="1"/>
    <x v="1"/>
    <n v="-19"/>
    <x v="1"/>
    <n v="1"/>
    <n v="1"/>
    <s v="Review Immediately"/>
  </r>
  <r>
    <x v="1"/>
    <x v="2"/>
    <n v="-10"/>
    <x v="2"/>
    <n v="0"/>
    <n v="0"/>
    <s v="Monitor Quarterly"/>
  </r>
  <r>
    <x v="1"/>
    <x v="3"/>
    <n v="-21"/>
    <x v="0"/>
    <n v="1"/>
    <n v="2"/>
    <s v="Escalate to HR &amp; Legal"/>
  </r>
  <r>
    <x v="1"/>
    <x v="4"/>
    <n v="-21"/>
    <x v="0"/>
    <n v="1"/>
    <n v="2"/>
    <s v="Escalate to HR &amp; Legal"/>
  </r>
  <r>
    <x v="1"/>
    <x v="5"/>
    <n v="-24"/>
    <x v="0"/>
    <n v="1"/>
    <n v="2"/>
    <s v="Escalate to HR &amp; Legal"/>
  </r>
  <r>
    <x v="1"/>
    <x v="6"/>
    <n v="-4"/>
    <x v="2"/>
    <n v="0"/>
    <n v="0"/>
    <s v="Monitor Quarterly"/>
  </r>
  <r>
    <x v="1"/>
    <x v="7"/>
    <n v="-7"/>
    <x v="2"/>
    <n v="0"/>
    <n v="0"/>
    <s v="Monitor Quarterly"/>
  </r>
  <r>
    <x v="1"/>
    <x v="8"/>
    <n v="4"/>
    <x v="2"/>
    <n v="0"/>
    <n v="0"/>
    <s v="Monitor Quarterly"/>
  </r>
  <r>
    <x v="1"/>
    <x v="9"/>
    <n v="-19"/>
    <x v="1"/>
    <n v="1"/>
    <n v="1"/>
    <s v="Review Immediately"/>
  </r>
  <r>
    <x v="1"/>
    <x v="10"/>
    <n v="-5"/>
    <x v="2"/>
    <n v="0"/>
    <n v="0"/>
    <s v="Monitor Quarterly"/>
  </r>
  <r>
    <x v="2"/>
    <x v="3"/>
    <n v="-15"/>
    <x v="1"/>
    <n v="1"/>
    <n v="1"/>
    <s v="Review Immediately"/>
  </r>
  <r>
    <x v="2"/>
    <x v="4"/>
    <n v="-16"/>
    <x v="1"/>
    <n v="1"/>
    <n v="1"/>
    <s v="Review Immediately"/>
  </r>
  <r>
    <x v="2"/>
    <x v="5"/>
    <n v="-17"/>
    <x v="1"/>
    <n v="1"/>
    <n v="1"/>
    <s v="Review Immediately"/>
  </r>
  <r>
    <x v="2"/>
    <x v="6"/>
    <n v="4"/>
    <x v="2"/>
    <n v="0"/>
    <n v="0"/>
    <s v="Monitor Quarterly"/>
  </r>
  <r>
    <x v="2"/>
    <x v="7"/>
    <n v="2"/>
    <x v="2"/>
    <n v="0"/>
    <n v="0"/>
    <s v="Monitor Quarterly"/>
  </r>
  <r>
    <x v="2"/>
    <x v="8"/>
    <n v="4"/>
    <x v="2"/>
    <n v="0"/>
    <n v="0"/>
    <s v="Monitor Quarterly"/>
  </r>
  <r>
    <x v="2"/>
    <x v="9"/>
    <n v="0"/>
    <x v="2"/>
    <n v="0"/>
    <n v="0"/>
    <s v="Monitor Quarterly"/>
  </r>
  <r>
    <x v="2"/>
    <x v="10"/>
    <n v="-6"/>
    <x v="2"/>
    <n v="0"/>
    <n v="0"/>
    <s v="Monitor Quarterly"/>
  </r>
  <r>
    <x v="3"/>
    <x v="3"/>
    <n v="-21"/>
    <x v="0"/>
    <n v="1"/>
    <n v="2"/>
    <s v="Escalate to HR &amp; Legal"/>
  </r>
  <r>
    <x v="3"/>
    <x v="4"/>
    <n v="-19"/>
    <x v="1"/>
    <n v="1"/>
    <n v="1"/>
    <s v="Review Immediately"/>
  </r>
  <r>
    <x v="3"/>
    <x v="5"/>
    <n v="-20"/>
    <x v="1"/>
    <n v="1"/>
    <n v="1"/>
    <s v="Review Immediately"/>
  </r>
  <r>
    <x v="3"/>
    <x v="6"/>
    <n v="-5"/>
    <x v="2"/>
    <n v="0"/>
    <n v="0"/>
    <s v="Monitor Quarterly"/>
  </r>
  <r>
    <x v="3"/>
    <x v="7"/>
    <n v="-4"/>
    <x v="2"/>
    <n v="0"/>
    <n v="0"/>
    <s v="Monitor Quarterly"/>
  </r>
  <r>
    <x v="3"/>
    <x v="8"/>
    <n v="3"/>
    <x v="2"/>
    <n v="0"/>
    <n v="0"/>
    <s v="Monitor Quarterly"/>
  </r>
  <r>
    <x v="3"/>
    <x v="9"/>
    <n v="-7"/>
    <x v="2"/>
    <n v="0"/>
    <n v="0"/>
    <s v="Monitor Quarterly"/>
  </r>
  <r>
    <x v="3"/>
    <x v="10"/>
    <n v="-7"/>
    <x v="2"/>
    <n v="0"/>
    <n v="0"/>
    <s v="Monitor Quarterly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340C8AD-2406-4977-A6E9-B6C2EE9A4D78}" name="PT1 - Factory Analysis" cacheId="80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:C19" firstHeaderRow="1" firstDataRow="1" firstDataCol="2"/>
  <pivotFields count="7">
    <pivotField axis="axisRow" compact="0" outline="0" showAll="0">
      <items count="5">
        <item x="2"/>
        <item x="0"/>
        <item x="1"/>
        <item x="3"/>
        <item t="default"/>
      </items>
    </pivotField>
    <pivotField compact="0" outline="0" showAll="0"/>
    <pivotField compact="0" outline="0" showAll="0"/>
    <pivotField axis="axisRow" dataField="1" compact="0" outline="0" showAll="0">
      <items count="4">
        <item x="2"/>
        <item x="0"/>
        <item x="1"/>
        <item t="default"/>
      </items>
    </pivotField>
    <pivotField compact="0" outline="0" showAll="0"/>
    <pivotField compact="0" outline="0" showAll="0"/>
    <pivotField compact="0" outline="0" showAll="0"/>
  </pivotFields>
  <rowFields count="2">
    <field x="0"/>
    <field x="3"/>
  </rowFields>
  <rowItems count="16">
    <i>
      <x/>
      <x/>
    </i>
    <i r="1">
      <x v="2"/>
    </i>
    <i t="default">
      <x/>
    </i>
    <i>
      <x v="1"/>
      <x/>
    </i>
    <i r="1">
      <x v="1"/>
    </i>
    <i r="1">
      <x v="2"/>
    </i>
    <i t="default">
      <x v="1"/>
    </i>
    <i>
      <x v="2"/>
      <x/>
    </i>
    <i r="1">
      <x v="1"/>
    </i>
    <i r="1">
      <x v="2"/>
    </i>
    <i t="default">
      <x v="2"/>
    </i>
    <i>
      <x v="3"/>
      <x/>
    </i>
    <i r="1">
      <x v="1"/>
    </i>
    <i r="1">
      <x v="2"/>
    </i>
    <i t="default">
      <x v="3"/>
    </i>
    <i t="grand">
      <x/>
    </i>
  </rowItems>
  <colItems count="1">
    <i/>
  </colItems>
  <dataFields count="1">
    <dataField name="Count of Equality class" fld="3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61CA17D-2B54-44B0-A419-61F3BB3987AA}" name="PT2 - Job Role Analysis" cacheId="80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3:C15" firstHeaderRow="0" firstDataRow="1" firstDataCol="1"/>
  <pivotFields count="7">
    <pivotField compact="0" outline="0" showAll="0"/>
    <pivotField axis="axisRow" compact="0" outline="0" showAll="0" sortType="ascending">
      <items count="12">
        <item x="0"/>
        <item x="2"/>
        <item x="7"/>
        <item x="8"/>
        <item x="5"/>
        <item x="10"/>
        <item x="4"/>
        <item x="9"/>
        <item x="6"/>
        <item x="3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compact="0" outline="0" showAll="0"/>
    <pivotField compact="0" outline="0" showAll="0"/>
    <pivotField compact="0" outline="0" showAll="0"/>
    <pivotField dataField="1" compact="0" outline="0" showAll="0"/>
    <pivotField compact="0" outline="0" showAll="0"/>
  </pivotFields>
  <rowFields count="1">
    <field x="1"/>
  </rowFields>
  <rowItems count="12">
    <i>
      <x/>
    </i>
    <i>
      <x v="10"/>
    </i>
    <i>
      <x v="4"/>
    </i>
    <i>
      <x v="9"/>
    </i>
    <i>
      <x v="6"/>
    </i>
    <i>
      <x v="1"/>
    </i>
    <i>
      <x v="7"/>
    </i>
    <i>
      <x v="5"/>
    </i>
    <i>
      <x v="2"/>
    </i>
    <i>
      <x v="8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Average of Equality Score" fld="2" subtotal="average" baseField="0" baseItem="0" numFmtId="164"/>
    <dataField name="Max of Priority Score" fld="5" subtotal="max" baseField="0" baseItem="0"/>
  </dataFields>
  <formats count="2">
    <format dxfId="15">
      <pivotArea outline="0" fieldPosition="0">
        <references count="1">
          <reference field="4294967294" count="1" selected="0">
            <x v="0"/>
          </reference>
        </references>
      </pivotArea>
    </format>
    <format dxfId="16">
      <pivotArea dataOnly="0" labelOnly="1" outline="0" fieldPosition="0">
        <references count="1">
          <reference field="4294967294" count="1">
            <x v="0"/>
          </reference>
        </references>
      </pivotArea>
    </format>
  </format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419DF57-0BC8-4CD5-878B-C83EA8B9116C}" name="Table1" displayName="Table1" ref="A1:G38" totalsRowShown="0" headerRowDxfId="6" headerRowBorderDxfId="4" tableBorderDxfId="5" totalsRowBorderDxfId="3">
  <autoFilter ref="A1:G38" xr:uid="{7419DF57-0BC8-4CD5-878B-C83EA8B9116C}"/>
  <tableColumns count="7">
    <tableColumn id="1" xr3:uid="{84CBA5C3-93E3-49C0-ABE9-5EF223F1E6FD}" name="Factory"/>
    <tableColumn id="2" xr3:uid="{8CD70CA5-58ED-4E6A-BD19-FFA84F33D89B}" name="Job Role"/>
    <tableColumn id="3" xr3:uid="{680BD466-5183-4B1A-BE80-AE39E8896C19}" name="Equality Score"/>
    <tableColumn id="4" xr3:uid="{3DC6A641-60C5-41A3-9DFA-8AC8A2A75FC5}" name="Equality class">
      <calculatedColumnFormula array="1">_xlfn.SWITCH(TRUE(),ABS(C2)&lt;=10,"Fair",ABS(C2)&lt;=20,"Unfair","Highly Discriminative")</calculatedColumnFormula>
    </tableColumn>
    <tableColumn id="5" xr3:uid="{ED0957B9-0607-4AF4-BAF1-CE15BBA60C8F}" name="Risk Flag" dataDxfId="2">
      <calculatedColumnFormula>IF(Table1[[#This Row],[Equality class]]="Fair",0,1)</calculatedColumnFormula>
    </tableColumn>
    <tableColumn id="6" xr3:uid="{A3CF7F29-868F-40BE-8054-E6B6B43E25C8}" name="Priority Score" dataDxfId="1">
      <calculatedColumnFormula array="1">_xlfn.SWITCH(TRUE(),Table1[[#This Row],[Equality class]]="Highly Discriminative",2,Table1[[#This Row],[Equality class]]="Unfair",1,0)</calculatedColumnFormula>
    </tableColumn>
    <tableColumn id="7" xr3:uid="{A3533C15-58C6-4F4C-B5BF-BB5512685637}" name="Recommended Action" dataDxfId="0">
      <calculatedColumnFormula array="1">_xlfn.SWITCH(TRUE(),Table1[[#This Row],[Equality class]]="Highly Discriminative","Escalate to HR &amp; Legal",Table1[[#This Row],[Equality class]]="Unfair","Review Immediately","Monitor Quarterly")</calculatedColumnFormula>
    </tableColumn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8"/>
  <sheetViews>
    <sheetView tabSelected="1" zoomScaleNormal="100" workbookViewId="0"/>
  </sheetViews>
  <sheetFormatPr defaultColWidth="11.5703125" defaultRowHeight="12.75"/>
  <cols>
    <col min="1" max="1" width="21.85546875" customWidth="1"/>
    <col min="2" max="2" width="18.140625" customWidth="1"/>
    <col min="3" max="3" width="16" customWidth="1"/>
    <col min="4" max="4" width="23" customWidth="1"/>
    <col min="6" max="6" width="15.42578125" customWidth="1"/>
    <col min="7" max="7" width="25.5703125" customWidth="1"/>
  </cols>
  <sheetData>
    <row r="1" spans="1:7">
      <c r="A1" s="3" t="s">
        <v>0</v>
      </c>
      <c r="B1" s="3" t="s">
        <v>1</v>
      </c>
      <c r="C1" s="3" t="s">
        <v>2</v>
      </c>
      <c r="D1" s="3" t="s">
        <v>3</v>
      </c>
      <c r="E1" s="1" t="s">
        <v>4</v>
      </c>
      <c r="F1" s="2" t="s">
        <v>5</v>
      </c>
      <c r="G1" s="2" t="s">
        <v>6</v>
      </c>
    </row>
    <row r="2" spans="1:7">
      <c r="A2" s="4" t="s">
        <v>7</v>
      </c>
      <c r="B2" s="4" t="s">
        <v>8</v>
      </c>
      <c r="C2" s="4">
        <v>-25</v>
      </c>
      <c r="D2" s="4" t="str" cm="1">
        <f t="array" ref="D2">_xlfn.SWITCH(TRUE(),ABS(C2)&lt;=10,"Fair",ABS(C2)&lt;=20,"Unfair","Highly Discriminative")</f>
        <v>Highly Discriminative</v>
      </c>
      <c r="E2">
        <f>IF(Table1[[#This Row],[Equality class]]="Fair",0,1)</f>
        <v>1</v>
      </c>
      <c r="F2" cm="1">
        <f t="array" ref="F2">_xlfn.SWITCH(TRUE(),Table1[[#This Row],[Equality class]]="Highly Discriminative",2,Table1[[#This Row],[Equality class]]="Unfair",1,0)</f>
        <v>2</v>
      </c>
      <c r="G2" t="str" cm="1">
        <f t="array" ref="G2">_xlfn.SWITCH(TRUE(),Table1[[#This Row],[Equality class]]="Highly Discriminative","Escalate to HR &amp; Legal",Table1[[#This Row],[Equality class]]="Unfair","Review Immediately","Monitor Quarterly")</f>
        <v>Escalate to HR &amp; Legal</v>
      </c>
    </row>
    <row r="3" spans="1:7">
      <c r="A3" s="4" t="s">
        <v>9</v>
      </c>
      <c r="B3" s="4" t="s">
        <v>10</v>
      </c>
      <c r="C3" s="4">
        <v>-26</v>
      </c>
      <c r="D3" s="4" t="str" cm="1">
        <f t="array" ref="D3">_xlfn.SWITCH(TRUE(),ABS(C3)&lt;=10,"Fair",ABS(C3)&lt;=20,"Unfair","Highly Discriminative")</f>
        <v>Highly Discriminative</v>
      </c>
      <c r="E3">
        <f>IF(Table1[[#This Row],[Equality class]]="Fair",0,1)</f>
        <v>1</v>
      </c>
      <c r="F3" cm="1">
        <f t="array" ref="F3">_xlfn.SWITCH(TRUE(),Table1[[#This Row],[Equality class]]="Highly Discriminative",2,Table1[[#This Row],[Equality class]]="Unfair",1,0)</f>
        <v>2</v>
      </c>
      <c r="G3" t="str" cm="1">
        <f t="array" ref="G3">_xlfn.SWITCH(TRUE(),Table1[[#This Row],[Equality class]]="Highly Discriminative","Escalate to HR &amp; Legal",Table1[[#This Row],[Equality class]]="Unfair","Review Immediately","Monitor Quarterly")</f>
        <v>Escalate to HR &amp; Legal</v>
      </c>
    </row>
    <row r="4" spans="1:7">
      <c r="A4" s="4" t="s">
        <v>7</v>
      </c>
      <c r="B4" s="4" t="s">
        <v>11</v>
      </c>
      <c r="C4" s="4">
        <v>-19</v>
      </c>
      <c r="D4" s="4" t="str" cm="1">
        <f t="array" ref="D4">_xlfn.SWITCH(TRUE(),ABS(C4)&lt;=10,"Fair",ABS(C4)&lt;=20,"Unfair","Highly Discriminative")</f>
        <v>Unfair</v>
      </c>
      <c r="E4">
        <f>IF(Table1[[#This Row],[Equality class]]="Fair",0,1)</f>
        <v>1</v>
      </c>
      <c r="F4" cm="1">
        <f t="array" ref="F4">_xlfn.SWITCH(TRUE(),Table1[[#This Row],[Equality class]]="Highly Discriminative",2,Table1[[#This Row],[Equality class]]="Unfair",1,0)</f>
        <v>1</v>
      </c>
      <c r="G4" t="str" cm="1">
        <f t="array" ref="G4">_xlfn.SWITCH(TRUE(),Table1[[#This Row],[Equality class]]="Highly Discriminative","Escalate to HR &amp; Legal",Table1[[#This Row],[Equality class]]="Unfair","Review Immediately","Monitor Quarterly")</f>
        <v>Review Immediately</v>
      </c>
    </row>
    <row r="5" spans="1:7">
      <c r="A5" s="4" t="s">
        <v>7</v>
      </c>
      <c r="B5" s="4" t="s">
        <v>12</v>
      </c>
      <c r="C5" s="4">
        <v>-15</v>
      </c>
      <c r="D5" s="4" t="str" cm="1">
        <f t="array" ref="D5">_xlfn.SWITCH(TRUE(),ABS(C5)&lt;=10,"Fair",ABS(C5)&lt;=20,"Unfair","Highly Discriminative")</f>
        <v>Unfair</v>
      </c>
      <c r="E5">
        <f>IF(Table1[[#This Row],[Equality class]]="Fair",0,1)</f>
        <v>1</v>
      </c>
      <c r="F5" cm="1">
        <f t="array" ref="F5">_xlfn.SWITCH(TRUE(),Table1[[#This Row],[Equality class]]="Highly Discriminative",2,Table1[[#This Row],[Equality class]]="Unfair",1,0)</f>
        <v>1</v>
      </c>
      <c r="G5" t="str" cm="1">
        <f t="array" ref="G5">_xlfn.SWITCH(TRUE(),Table1[[#This Row],[Equality class]]="Highly Discriminative","Escalate to HR &amp; Legal",Table1[[#This Row],[Equality class]]="Unfair","Review Immediately","Monitor Quarterly")</f>
        <v>Review Immediately</v>
      </c>
    </row>
    <row r="6" spans="1:7">
      <c r="A6" s="4" t="s">
        <v>7</v>
      </c>
      <c r="B6" s="4" t="s">
        <v>13</v>
      </c>
      <c r="C6" s="4">
        <v>-14</v>
      </c>
      <c r="D6" s="4" t="str" cm="1">
        <f t="array" ref="D6">_xlfn.SWITCH(TRUE(),ABS(C6)&lt;=10,"Fair",ABS(C6)&lt;=20,"Unfair","Highly Discriminative")</f>
        <v>Unfair</v>
      </c>
      <c r="E6">
        <f>IF(Table1[[#This Row],[Equality class]]="Fair",0,1)</f>
        <v>1</v>
      </c>
      <c r="F6" cm="1">
        <f t="array" ref="F6">_xlfn.SWITCH(TRUE(),Table1[[#This Row],[Equality class]]="Highly Discriminative",2,Table1[[#This Row],[Equality class]]="Unfair",1,0)</f>
        <v>1</v>
      </c>
      <c r="G6" t="str" cm="1">
        <f t="array" ref="G6">_xlfn.SWITCH(TRUE(),Table1[[#This Row],[Equality class]]="Highly Discriminative","Escalate to HR &amp; Legal",Table1[[#This Row],[Equality class]]="Unfair","Review Immediately","Monitor Quarterly")</f>
        <v>Review Immediately</v>
      </c>
    </row>
    <row r="7" spans="1:7">
      <c r="A7" s="4" t="s">
        <v>7</v>
      </c>
      <c r="B7" s="4" t="s">
        <v>14</v>
      </c>
      <c r="C7" s="4">
        <v>-20</v>
      </c>
      <c r="D7" s="4" t="str" cm="1">
        <f t="array" ref="D7">_xlfn.SWITCH(TRUE(),ABS(C7)&lt;=10,"Fair",ABS(C7)&lt;=20,"Unfair","Highly Discriminative")</f>
        <v>Unfair</v>
      </c>
      <c r="E7">
        <f>IF(Table1[[#This Row],[Equality class]]="Fair",0,1)</f>
        <v>1</v>
      </c>
      <c r="F7" cm="1">
        <f t="array" ref="F7">_xlfn.SWITCH(TRUE(),Table1[[#This Row],[Equality class]]="Highly Discriminative",2,Table1[[#This Row],[Equality class]]="Unfair",1,0)</f>
        <v>1</v>
      </c>
      <c r="G7" t="str" cm="1">
        <f t="array" ref="G7">_xlfn.SWITCH(TRUE(),Table1[[#This Row],[Equality class]]="Highly Discriminative","Escalate to HR &amp; Legal",Table1[[#This Row],[Equality class]]="Unfair","Review Immediately","Monitor Quarterly")</f>
        <v>Review Immediately</v>
      </c>
    </row>
    <row r="8" spans="1:7">
      <c r="A8" s="4" t="s">
        <v>7</v>
      </c>
      <c r="B8" s="4" t="s">
        <v>15</v>
      </c>
      <c r="C8" s="4">
        <v>-5</v>
      </c>
      <c r="D8" s="4" t="str" cm="1">
        <f t="array" ref="D8">_xlfn.SWITCH(TRUE(),ABS(C8)&lt;=10,"Fair",ABS(C8)&lt;=20,"Unfair","Highly Discriminative")</f>
        <v>Fair</v>
      </c>
      <c r="E8">
        <f>IF(Table1[[#This Row],[Equality class]]="Fair",0,1)</f>
        <v>0</v>
      </c>
      <c r="F8" cm="1">
        <f t="array" ref="F8">_xlfn.SWITCH(TRUE(),Table1[[#This Row],[Equality class]]="Highly Discriminative",2,Table1[[#This Row],[Equality class]]="Unfair",1,0)</f>
        <v>0</v>
      </c>
      <c r="G8" t="str" cm="1">
        <f t="array" ref="G8">_xlfn.SWITCH(TRUE(),Table1[[#This Row],[Equality class]]="Highly Discriminative","Escalate to HR &amp; Legal",Table1[[#This Row],[Equality class]]="Unfair","Review Immediately","Monitor Quarterly")</f>
        <v>Monitor Quarterly</v>
      </c>
    </row>
    <row r="9" spans="1:7">
      <c r="A9" s="4" t="s">
        <v>7</v>
      </c>
      <c r="B9" s="4" t="s">
        <v>16</v>
      </c>
      <c r="C9" s="4">
        <v>-8</v>
      </c>
      <c r="D9" s="4" t="str" cm="1">
        <f t="array" ref="D9">_xlfn.SWITCH(TRUE(),ABS(C9)&lt;=10,"Fair",ABS(C9)&lt;=20,"Unfair","Highly Discriminative")</f>
        <v>Fair</v>
      </c>
      <c r="E9">
        <f>IF(Table1[[#This Row],[Equality class]]="Fair",0,1)</f>
        <v>0</v>
      </c>
      <c r="F9" cm="1">
        <f t="array" ref="F9">_xlfn.SWITCH(TRUE(),Table1[[#This Row],[Equality class]]="Highly Discriminative",2,Table1[[#This Row],[Equality class]]="Unfair",1,0)</f>
        <v>0</v>
      </c>
      <c r="G9" t="str" cm="1">
        <f t="array" ref="G9">_xlfn.SWITCH(TRUE(),Table1[[#This Row],[Equality class]]="Highly Discriminative","Escalate to HR &amp; Legal",Table1[[#This Row],[Equality class]]="Unfair","Review Immediately","Monitor Quarterly")</f>
        <v>Monitor Quarterly</v>
      </c>
    </row>
    <row r="10" spans="1:7">
      <c r="A10" s="4" t="s">
        <v>7</v>
      </c>
      <c r="B10" s="4" t="s">
        <v>17</v>
      </c>
      <c r="C10" s="4">
        <v>3</v>
      </c>
      <c r="D10" s="4" t="str" cm="1">
        <f t="array" ref="D10">_xlfn.SWITCH(TRUE(),ABS(C10)&lt;=10,"Fair",ABS(C10)&lt;=20,"Unfair","Highly Discriminative")</f>
        <v>Fair</v>
      </c>
      <c r="E10">
        <f>IF(Table1[[#This Row],[Equality class]]="Fair",0,1)</f>
        <v>0</v>
      </c>
      <c r="F10" cm="1">
        <f t="array" ref="F10">_xlfn.SWITCH(TRUE(),Table1[[#This Row],[Equality class]]="Highly Discriminative",2,Table1[[#This Row],[Equality class]]="Unfair",1,0)</f>
        <v>0</v>
      </c>
      <c r="G10" t="str" cm="1">
        <f t="array" ref="G10">_xlfn.SWITCH(TRUE(),Table1[[#This Row],[Equality class]]="Highly Discriminative","Escalate to HR &amp; Legal",Table1[[#This Row],[Equality class]]="Unfair","Review Immediately","Monitor Quarterly")</f>
        <v>Monitor Quarterly</v>
      </c>
    </row>
    <row r="11" spans="1:7">
      <c r="A11" s="4" t="s">
        <v>7</v>
      </c>
      <c r="B11" s="4" t="s">
        <v>18</v>
      </c>
      <c r="C11" s="4">
        <v>-22</v>
      </c>
      <c r="D11" s="4" t="str" cm="1">
        <f t="array" ref="D11">_xlfn.SWITCH(TRUE(),ABS(C11)&lt;=10,"Fair",ABS(C11)&lt;=20,"Unfair","Highly Discriminative")</f>
        <v>Highly Discriminative</v>
      </c>
      <c r="E11">
        <f>IF(Table1[[#This Row],[Equality class]]="Fair",0,1)</f>
        <v>1</v>
      </c>
      <c r="F11" cm="1">
        <f t="array" ref="F11">_xlfn.SWITCH(TRUE(),Table1[[#This Row],[Equality class]]="Highly Discriminative",2,Table1[[#This Row],[Equality class]]="Unfair",1,0)</f>
        <v>2</v>
      </c>
      <c r="G11" t="str" cm="1">
        <f t="array" ref="G11">_xlfn.SWITCH(TRUE(),Table1[[#This Row],[Equality class]]="Highly Discriminative","Escalate to HR &amp; Legal",Table1[[#This Row],[Equality class]]="Unfair","Review Immediately","Monitor Quarterly")</f>
        <v>Escalate to HR &amp; Legal</v>
      </c>
    </row>
    <row r="12" spans="1:7">
      <c r="A12" s="4" t="s">
        <v>7</v>
      </c>
      <c r="B12" s="4" t="s">
        <v>19</v>
      </c>
      <c r="C12" s="4">
        <v>-7</v>
      </c>
      <c r="D12" s="4" t="str" cm="1">
        <f t="array" ref="D12">_xlfn.SWITCH(TRUE(),ABS(C12)&lt;=10,"Fair",ABS(C12)&lt;=20,"Unfair","Highly Discriminative")</f>
        <v>Fair</v>
      </c>
      <c r="E12">
        <f>IF(Table1[[#This Row],[Equality class]]="Fair",0,1)</f>
        <v>0</v>
      </c>
      <c r="F12" cm="1">
        <f t="array" ref="F12">_xlfn.SWITCH(TRUE(),Table1[[#This Row],[Equality class]]="Highly Discriminative",2,Table1[[#This Row],[Equality class]]="Unfair",1,0)</f>
        <v>0</v>
      </c>
      <c r="G12" t="str" cm="1">
        <f t="array" ref="G12">_xlfn.SWITCH(TRUE(),Table1[[#This Row],[Equality class]]="Highly Discriminative","Escalate to HR &amp; Legal",Table1[[#This Row],[Equality class]]="Unfair","Review Immediately","Monitor Quarterly")</f>
        <v>Monitor Quarterly</v>
      </c>
    </row>
    <row r="13" spans="1:7">
      <c r="A13" s="4" t="s">
        <v>20</v>
      </c>
      <c r="B13" s="4" t="s">
        <v>10</v>
      </c>
      <c r="C13" s="4">
        <v>-19</v>
      </c>
      <c r="D13" s="4" t="str" cm="1">
        <f t="array" ref="D13">_xlfn.SWITCH(TRUE(),ABS(C13)&lt;=10,"Fair",ABS(C13)&lt;=20,"Unfair","Highly Discriminative")</f>
        <v>Unfair</v>
      </c>
      <c r="E13">
        <f>IF(Table1[[#This Row],[Equality class]]="Fair",0,1)</f>
        <v>1</v>
      </c>
      <c r="F13" cm="1">
        <f t="array" ref="F13">_xlfn.SWITCH(TRUE(),Table1[[#This Row],[Equality class]]="Highly Discriminative",2,Table1[[#This Row],[Equality class]]="Unfair",1,0)</f>
        <v>1</v>
      </c>
      <c r="G13" t="str" cm="1">
        <f t="array" ref="G13">_xlfn.SWITCH(TRUE(),Table1[[#This Row],[Equality class]]="Highly Discriminative","Escalate to HR &amp; Legal",Table1[[#This Row],[Equality class]]="Unfair","Review Immediately","Monitor Quarterly")</f>
        <v>Review Immediately</v>
      </c>
    </row>
    <row r="14" spans="1:7">
      <c r="A14" s="4" t="s">
        <v>20</v>
      </c>
      <c r="B14" s="4" t="s">
        <v>11</v>
      </c>
      <c r="C14" s="4">
        <v>-10</v>
      </c>
      <c r="D14" s="4" t="str" cm="1">
        <f t="array" ref="D14">_xlfn.SWITCH(TRUE(),ABS(C14)&lt;=10,"Fair",ABS(C14)&lt;=20,"Unfair","Highly Discriminative")</f>
        <v>Fair</v>
      </c>
      <c r="E14">
        <f>IF(Table1[[#This Row],[Equality class]]="Fair",0,1)</f>
        <v>0</v>
      </c>
      <c r="F14" cm="1">
        <f t="array" ref="F14">_xlfn.SWITCH(TRUE(),Table1[[#This Row],[Equality class]]="Highly Discriminative",2,Table1[[#This Row],[Equality class]]="Unfair",1,0)</f>
        <v>0</v>
      </c>
      <c r="G14" t="str" cm="1">
        <f t="array" ref="G14">_xlfn.SWITCH(TRUE(),Table1[[#This Row],[Equality class]]="Highly Discriminative","Escalate to HR &amp; Legal",Table1[[#This Row],[Equality class]]="Unfair","Review Immediately","Monitor Quarterly")</f>
        <v>Monitor Quarterly</v>
      </c>
    </row>
    <row r="15" spans="1:7">
      <c r="A15" s="4" t="s">
        <v>20</v>
      </c>
      <c r="B15" s="4" t="s">
        <v>12</v>
      </c>
      <c r="C15" s="4">
        <v>-21</v>
      </c>
      <c r="D15" s="4" t="str" cm="1">
        <f t="array" ref="D15">_xlfn.SWITCH(TRUE(),ABS(C15)&lt;=10,"Fair",ABS(C15)&lt;=20,"Unfair","Highly Discriminative")</f>
        <v>Highly Discriminative</v>
      </c>
      <c r="E15">
        <f>IF(Table1[[#This Row],[Equality class]]="Fair",0,1)</f>
        <v>1</v>
      </c>
      <c r="F15" cm="1">
        <f t="array" ref="F15">_xlfn.SWITCH(TRUE(),Table1[[#This Row],[Equality class]]="Highly Discriminative",2,Table1[[#This Row],[Equality class]]="Unfair",1,0)</f>
        <v>2</v>
      </c>
      <c r="G15" t="str" cm="1">
        <f t="array" ref="G15">_xlfn.SWITCH(TRUE(),Table1[[#This Row],[Equality class]]="Highly Discriminative","Escalate to HR &amp; Legal",Table1[[#This Row],[Equality class]]="Unfair","Review Immediately","Monitor Quarterly")</f>
        <v>Escalate to HR &amp; Legal</v>
      </c>
    </row>
    <row r="16" spans="1:7">
      <c r="A16" s="4" t="s">
        <v>20</v>
      </c>
      <c r="B16" s="4" t="s">
        <v>13</v>
      </c>
      <c r="C16" s="4">
        <v>-21</v>
      </c>
      <c r="D16" s="4" t="str" cm="1">
        <f t="array" ref="D16">_xlfn.SWITCH(TRUE(),ABS(C16)&lt;=10,"Fair",ABS(C16)&lt;=20,"Unfair","Highly Discriminative")</f>
        <v>Highly Discriminative</v>
      </c>
      <c r="E16">
        <f>IF(Table1[[#This Row],[Equality class]]="Fair",0,1)</f>
        <v>1</v>
      </c>
      <c r="F16" cm="1">
        <f t="array" ref="F16">_xlfn.SWITCH(TRUE(),Table1[[#This Row],[Equality class]]="Highly Discriminative",2,Table1[[#This Row],[Equality class]]="Unfair",1,0)</f>
        <v>2</v>
      </c>
      <c r="G16" t="str" cm="1">
        <f t="array" ref="G16">_xlfn.SWITCH(TRUE(),Table1[[#This Row],[Equality class]]="Highly Discriminative","Escalate to HR &amp; Legal",Table1[[#This Row],[Equality class]]="Unfair","Review Immediately","Monitor Quarterly")</f>
        <v>Escalate to HR &amp; Legal</v>
      </c>
    </row>
    <row r="17" spans="1:7">
      <c r="A17" s="4" t="s">
        <v>20</v>
      </c>
      <c r="B17" s="4" t="s">
        <v>14</v>
      </c>
      <c r="C17" s="4">
        <v>-24</v>
      </c>
      <c r="D17" s="4" t="str" cm="1">
        <f t="array" ref="D17">_xlfn.SWITCH(TRUE(),ABS(C17)&lt;=10,"Fair",ABS(C17)&lt;=20,"Unfair","Highly Discriminative")</f>
        <v>Highly Discriminative</v>
      </c>
      <c r="E17">
        <f>IF(Table1[[#This Row],[Equality class]]="Fair",0,1)</f>
        <v>1</v>
      </c>
      <c r="F17" cm="1">
        <f t="array" ref="F17">_xlfn.SWITCH(TRUE(),Table1[[#This Row],[Equality class]]="Highly Discriminative",2,Table1[[#This Row],[Equality class]]="Unfair",1,0)</f>
        <v>2</v>
      </c>
      <c r="G17" t="str" cm="1">
        <f t="array" ref="G17">_xlfn.SWITCH(TRUE(),Table1[[#This Row],[Equality class]]="Highly Discriminative","Escalate to HR &amp; Legal",Table1[[#This Row],[Equality class]]="Unfair","Review Immediately","Monitor Quarterly")</f>
        <v>Escalate to HR &amp; Legal</v>
      </c>
    </row>
    <row r="18" spans="1:7">
      <c r="A18" s="4" t="s">
        <v>20</v>
      </c>
      <c r="B18" s="4" t="s">
        <v>15</v>
      </c>
      <c r="C18" s="4">
        <v>-4</v>
      </c>
      <c r="D18" s="4" t="str" cm="1">
        <f t="array" ref="D18">_xlfn.SWITCH(TRUE(),ABS(C18)&lt;=10,"Fair",ABS(C18)&lt;=20,"Unfair","Highly Discriminative")</f>
        <v>Fair</v>
      </c>
      <c r="E18">
        <f>IF(Table1[[#This Row],[Equality class]]="Fair",0,1)</f>
        <v>0</v>
      </c>
      <c r="F18" cm="1">
        <f t="array" ref="F18">_xlfn.SWITCH(TRUE(),Table1[[#This Row],[Equality class]]="Highly Discriminative",2,Table1[[#This Row],[Equality class]]="Unfair",1,0)</f>
        <v>0</v>
      </c>
      <c r="G18" t="str" cm="1">
        <f t="array" ref="G18">_xlfn.SWITCH(TRUE(),Table1[[#This Row],[Equality class]]="Highly Discriminative","Escalate to HR &amp; Legal",Table1[[#This Row],[Equality class]]="Unfair","Review Immediately","Monitor Quarterly")</f>
        <v>Monitor Quarterly</v>
      </c>
    </row>
    <row r="19" spans="1:7">
      <c r="A19" s="4" t="s">
        <v>20</v>
      </c>
      <c r="B19" s="4" t="s">
        <v>16</v>
      </c>
      <c r="C19" s="4">
        <v>-7</v>
      </c>
      <c r="D19" s="4" t="str" cm="1">
        <f t="array" ref="D19">_xlfn.SWITCH(TRUE(),ABS(C19)&lt;=10,"Fair",ABS(C19)&lt;=20,"Unfair","Highly Discriminative")</f>
        <v>Fair</v>
      </c>
      <c r="E19">
        <f>IF(Table1[[#This Row],[Equality class]]="Fair",0,1)</f>
        <v>0</v>
      </c>
      <c r="F19" cm="1">
        <f t="array" ref="F19">_xlfn.SWITCH(TRUE(),Table1[[#This Row],[Equality class]]="Highly Discriminative",2,Table1[[#This Row],[Equality class]]="Unfair",1,0)</f>
        <v>0</v>
      </c>
      <c r="G19" t="str" cm="1">
        <f t="array" ref="G19">_xlfn.SWITCH(TRUE(),Table1[[#This Row],[Equality class]]="Highly Discriminative","Escalate to HR &amp; Legal",Table1[[#This Row],[Equality class]]="Unfair","Review Immediately","Monitor Quarterly")</f>
        <v>Monitor Quarterly</v>
      </c>
    </row>
    <row r="20" spans="1:7">
      <c r="A20" s="4" t="s">
        <v>20</v>
      </c>
      <c r="B20" s="4" t="s">
        <v>17</v>
      </c>
      <c r="C20" s="4">
        <v>4</v>
      </c>
      <c r="D20" s="4" t="str" cm="1">
        <f t="array" ref="D20">_xlfn.SWITCH(TRUE(),ABS(C20)&lt;=10,"Fair",ABS(C20)&lt;=20,"Unfair","Highly Discriminative")</f>
        <v>Fair</v>
      </c>
      <c r="E20">
        <f>IF(Table1[[#This Row],[Equality class]]="Fair",0,1)</f>
        <v>0</v>
      </c>
      <c r="F20" cm="1">
        <f t="array" ref="F20">_xlfn.SWITCH(TRUE(),Table1[[#This Row],[Equality class]]="Highly Discriminative",2,Table1[[#This Row],[Equality class]]="Unfair",1,0)</f>
        <v>0</v>
      </c>
      <c r="G20" t="str" cm="1">
        <f t="array" ref="G20">_xlfn.SWITCH(TRUE(),Table1[[#This Row],[Equality class]]="Highly Discriminative","Escalate to HR &amp; Legal",Table1[[#This Row],[Equality class]]="Unfair","Review Immediately","Monitor Quarterly")</f>
        <v>Monitor Quarterly</v>
      </c>
    </row>
    <row r="21" spans="1:7">
      <c r="A21" s="4" t="s">
        <v>20</v>
      </c>
      <c r="B21" s="4" t="s">
        <v>18</v>
      </c>
      <c r="C21" s="4">
        <v>-19</v>
      </c>
      <c r="D21" s="4" t="str" cm="1">
        <f t="array" ref="D21">_xlfn.SWITCH(TRUE(),ABS(C21)&lt;=10,"Fair",ABS(C21)&lt;=20,"Unfair","Highly Discriminative")</f>
        <v>Unfair</v>
      </c>
      <c r="E21">
        <f>IF(Table1[[#This Row],[Equality class]]="Fair",0,1)</f>
        <v>1</v>
      </c>
      <c r="F21" cm="1">
        <f t="array" ref="F21">_xlfn.SWITCH(TRUE(),Table1[[#This Row],[Equality class]]="Highly Discriminative",2,Table1[[#This Row],[Equality class]]="Unfair",1,0)</f>
        <v>1</v>
      </c>
      <c r="G21" t="str" cm="1">
        <f t="array" ref="G21">_xlfn.SWITCH(TRUE(),Table1[[#This Row],[Equality class]]="Highly Discriminative","Escalate to HR &amp; Legal",Table1[[#This Row],[Equality class]]="Unfair","Review Immediately","Monitor Quarterly")</f>
        <v>Review Immediately</v>
      </c>
    </row>
    <row r="22" spans="1:7">
      <c r="A22" s="4" t="s">
        <v>20</v>
      </c>
      <c r="B22" s="4" t="s">
        <v>19</v>
      </c>
      <c r="C22" s="4">
        <v>-5</v>
      </c>
      <c r="D22" s="4" t="str" cm="1">
        <f t="array" ref="D22">_xlfn.SWITCH(TRUE(),ABS(C22)&lt;=10,"Fair",ABS(C22)&lt;=20,"Unfair","Highly Discriminative")</f>
        <v>Fair</v>
      </c>
      <c r="E22">
        <f>IF(Table1[[#This Row],[Equality class]]="Fair",0,1)</f>
        <v>0</v>
      </c>
      <c r="F22" cm="1">
        <f t="array" ref="F22">_xlfn.SWITCH(TRUE(),Table1[[#This Row],[Equality class]]="Highly Discriminative",2,Table1[[#This Row],[Equality class]]="Unfair",1,0)</f>
        <v>0</v>
      </c>
      <c r="G22" t="str" cm="1">
        <f t="array" ref="G22">_xlfn.SWITCH(TRUE(),Table1[[#This Row],[Equality class]]="Highly Discriminative","Escalate to HR &amp; Legal",Table1[[#This Row],[Equality class]]="Unfair","Review Immediately","Monitor Quarterly")</f>
        <v>Monitor Quarterly</v>
      </c>
    </row>
    <row r="23" spans="1:7">
      <c r="A23" s="4" t="s">
        <v>21</v>
      </c>
      <c r="B23" s="4" t="s">
        <v>12</v>
      </c>
      <c r="C23" s="4">
        <v>-15</v>
      </c>
      <c r="D23" s="4" t="str" cm="1">
        <f t="array" ref="D23">_xlfn.SWITCH(TRUE(),ABS(C23)&lt;=10,"Fair",ABS(C23)&lt;=20,"Unfair","Highly Discriminative")</f>
        <v>Unfair</v>
      </c>
      <c r="E23">
        <f>IF(Table1[[#This Row],[Equality class]]="Fair",0,1)</f>
        <v>1</v>
      </c>
      <c r="F23" cm="1">
        <f t="array" ref="F23">_xlfn.SWITCH(TRUE(),Table1[[#This Row],[Equality class]]="Highly Discriminative",2,Table1[[#This Row],[Equality class]]="Unfair",1,0)</f>
        <v>1</v>
      </c>
      <c r="G23" t="str" cm="1">
        <f t="array" ref="G23">_xlfn.SWITCH(TRUE(),Table1[[#This Row],[Equality class]]="Highly Discriminative","Escalate to HR &amp; Legal",Table1[[#This Row],[Equality class]]="Unfair","Review Immediately","Monitor Quarterly")</f>
        <v>Review Immediately</v>
      </c>
    </row>
    <row r="24" spans="1:7">
      <c r="A24" s="4" t="s">
        <v>21</v>
      </c>
      <c r="B24" s="4" t="s">
        <v>13</v>
      </c>
      <c r="C24" s="4">
        <v>-16</v>
      </c>
      <c r="D24" s="4" t="str" cm="1">
        <f t="array" ref="D24">_xlfn.SWITCH(TRUE(),ABS(C24)&lt;=10,"Fair",ABS(C24)&lt;=20,"Unfair","Highly Discriminative")</f>
        <v>Unfair</v>
      </c>
      <c r="E24">
        <f>IF(Table1[[#This Row],[Equality class]]="Fair",0,1)</f>
        <v>1</v>
      </c>
      <c r="F24" cm="1">
        <f t="array" ref="F24">_xlfn.SWITCH(TRUE(),Table1[[#This Row],[Equality class]]="Highly Discriminative",2,Table1[[#This Row],[Equality class]]="Unfair",1,0)</f>
        <v>1</v>
      </c>
      <c r="G24" t="str" cm="1">
        <f t="array" ref="G24">_xlfn.SWITCH(TRUE(),Table1[[#This Row],[Equality class]]="Highly Discriminative","Escalate to HR &amp; Legal",Table1[[#This Row],[Equality class]]="Unfair","Review Immediately","Monitor Quarterly")</f>
        <v>Review Immediately</v>
      </c>
    </row>
    <row r="25" spans="1:7">
      <c r="A25" s="4" t="s">
        <v>21</v>
      </c>
      <c r="B25" s="4" t="s">
        <v>14</v>
      </c>
      <c r="C25" s="4">
        <v>-17</v>
      </c>
      <c r="D25" s="4" t="str" cm="1">
        <f t="array" ref="D25">_xlfn.SWITCH(TRUE(),ABS(C25)&lt;=10,"Fair",ABS(C25)&lt;=20,"Unfair","Highly Discriminative")</f>
        <v>Unfair</v>
      </c>
      <c r="E25">
        <f>IF(Table1[[#This Row],[Equality class]]="Fair",0,1)</f>
        <v>1</v>
      </c>
      <c r="F25" cm="1">
        <f t="array" ref="F25">_xlfn.SWITCH(TRUE(),Table1[[#This Row],[Equality class]]="Highly Discriminative",2,Table1[[#This Row],[Equality class]]="Unfair",1,0)</f>
        <v>1</v>
      </c>
      <c r="G25" t="str" cm="1">
        <f t="array" ref="G25">_xlfn.SWITCH(TRUE(),Table1[[#This Row],[Equality class]]="Highly Discriminative","Escalate to HR &amp; Legal",Table1[[#This Row],[Equality class]]="Unfair","Review Immediately","Monitor Quarterly")</f>
        <v>Review Immediately</v>
      </c>
    </row>
    <row r="26" spans="1:7">
      <c r="A26" s="4" t="s">
        <v>21</v>
      </c>
      <c r="B26" s="4" t="s">
        <v>15</v>
      </c>
      <c r="C26" s="4">
        <v>4</v>
      </c>
      <c r="D26" s="4" t="str" cm="1">
        <f t="array" ref="D26">_xlfn.SWITCH(TRUE(),ABS(C26)&lt;=10,"Fair",ABS(C26)&lt;=20,"Unfair","Highly Discriminative")</f>
        <v>Fair</v>
      </c>
      <c r="E26">
        <f>IF(Table1[[#This Row],[Equality class]]="Fair",0,1)</f>
        <v>0</v>
      </c>
      <c r="F26" cm="1">
        <f t="array" ref="F26">_xlfn.SWITCH(TRUE(),Table1[[#This Row],[Equality class]]="Highly Discriminative",2,Table1[[#This Row],[Equality class]]="Unfair",1,0)</f>
        <v>0</v>
      </c>
      <c r="G26" t="str" cm="1">
        <f t="array" ref="G26">_xlfn.SWITCH(TRUE(),Table1[[#This Row],[Equality class]]="Highly Discriminative","Escalate to HR &amp; Legal",Table1[[#This Row],[Equality class]]="Unfair","Review Immediately","Monitor Quarterly")</f>
        <v>Monitor Quarterly</v>
      </c>
    </row>
    <row r="27" spans="1:7">
      <c r="A27" s="4" t="s">
        <v>21</v>
      </c>
      <c r="B27" s="4" t="s">
        <v>16</v>
      </c>
      <c r="C27" s="4">
        <v>2</v>
      </c>
      <c r="D27" s="4" t="str" cm="1">
        <f t="array" ref="D27">_xlfn.SWITCH(TRUE(),ABS(C27)&lt;=10,"Fair",ABS(C27)&lt;=20,"Unfair","Highly Discriminative")</f>
        <v>Fair</v>
      </c>
      <c r="E27">
        <f>IF(Table1[[#This Row],[Equality class]]="Fair",0,1)</f>
        <v>0</v>
      </c>
      <c r="F27" cm="1">
        <f t="array" ref="F27">_xlfn.SWITCH(TRUE(),Table1[[#This Row],[Equality class]]="Highly Discriminative",2,Table1[[#This Row],[Equality class]]="Unfair",1,0)</f>
        <v>0</v>
      </c>
      <c r="G27" t="str" cm="1">
        <f t="array" ref="G27">_xlfn.SWITCH(TRUE(),Table1[[#This Row],[Equality class]]="Highly Discriminative","Escalate to HR &amp; Legal",Table1[[#This Row],[Equality class]]="Unfair","Review Immediately","Monitor Quarterly")</f>
        <v>Monitor Quarterly</v>
      </c>
    </row>
    <row r="28" spans="1:7">
      <c r="A28" s="4" t="s">
        <v>21</v>
      </c>
      <c r="B28" s="4" t="s">
        <v>17</v>
      </c>
      <c r="C28" s="4">
        <v>4</v>
      </c>
      <c r="D28" s="4" t="str" cm="1">
        <f t="array" ref="D28">_xlfn.SWITCH(TRUE(),ABS(C28)&lt;=10,"Fair",ABS(C28)&lt;=20,"Unfair","Highly Discriminative")</f>
        <v>Fair</v>
      </c>
      <c r="E28">
        <f>IF(Table1[[#This Row],[Equality class]]="Fair",0,1)</f>
        <v>0</v>
      </c>
      <c r="F28" cm="1">
        <f t="array" ref="F28">_xlfn.SWITCH(TRUE(),Table1[[#This Row],[Equality class]]="Highly Discriminative",2,Table1[[#This Row],[Equality class]]="Unfair",1,0)</f>
        <v>0</v>
      </c>
      <c r="G28" t="str" cm="1">
        <f t="array" ref="G28">_xlfn.SWITCH(TRUE(),Table1[[#This Row],[Equality class]]="Highly Discriminative","Escalate to HR &amp; Legal",Table1[[#This Row],[Equality class]]="Unfair","Review Immediately","Monitor Quarterly")</f>
        <v>Monitor Quarterly</v>
      </c>
    </row>
    <row r="29" spans="1:7">
      <c r="A29" s="4" t="s">
        <v>21</v>
      </c>
      <c r="B29" s="4" t="s">
        <v>18</v>
      </c>
      <c r="C29" s="4">
        <v>0</v>
      </c>
      <c r="D29" s="4" t="str" cm="1">
        <f t="array" ref="D29">_xlfn.SWITCH(TRUE(),ABS(C29)&lt;=10,"Fair",ABS(C29)&lt;=20,"Unfair","Highly Discriminative")</f>
        <v>Fair</v>
      </c>
      <c r="E29">
        <f>IF(Table1[[#This Row],[Equality class]]="Fair",0,1)</f>
        <v>0</v>
      </c>
      <c r="F29" cm="1">
        <f t="array" ref="F29">_xlfn.SWITCH(TRUE(),Table1[[#This Row],[Equality class]]="Highly Discriminative",2,Table1[[#This Row],[Equality class]]="Unfair",1,0)</f>
        <v>0</v>
      </c>
      <c r="G29" t="str" cm="1">
        <f t="array" ref="G29">_xlfn.SWITCH(TRUE(),Table1[[#This Row],[Equality class]]="Highly Discriminative","Escalate to HR &amp; Legal",Table1[[#This Row],[Equality class]]="Unfair","Review Immediately","Monitor Quarterly")</f>
        <v>Monitor Quarterly</v>
      </c>
    </row>
    <row r="30" spans="1:7">
      <c r="A30" s="4" t="s">
        <v>21</v>
      </c>
      <c r="B30" s="4" t="s">
        <v>19</v>
      </c>
      <c r="C30" s="4">
        <v>-6</v>
      </c>
      <c r="D30" s="4" t="str" cm="1">
        <f t="array" ref="D30">_xlfn.SWITCH(TRUE(),ABS(C30)&lt;=10,"Fair",ABS(C30)&lt;=20,"Unfair","Highly Discriminative")</f>
        <v>Fair</v>
      </c>
      <c r="E30">
        <f>IF(Table1[[#This Row],[Equality class]]="Fair",0,1)</f>
        <v>0</v>
      </c>
      <c r="F30" cm="1">
        <f t="array" ref="F30">_xlfn.SWITCH(TRUE(),Table1[[#This Row],[Equality class]]="Highly Discriminative",2,Table1[[#This Row],[Equality class]]="Unfair",1,0)</f>
        <v>0</v>
      </c>
      <c r="G30" t="str" cm="1">
        <f t="array" ref="G30">_xlfn.SWITCH(TRUE(),Table1[[#This Row],[Equality class]]="Highly Discriminative","Escalate to HR &amp; Legal",Table1[[#This Row],[Equality class]]="Unfair","Review Immediately","Monitor Quarterly")</f>
        <v>Monitor Quarterly</v>
      </c>
    </row>
    <row r="31" spans="1:7">
      <c r="A31" s="4" t="s">
        <v>22</v>
      </c>
      <c r="B31" s="4" t="s">
        <v>12</v>
      </c>
      <c r="C31" s="4">
        <v>-21</v>
      </c>
      <c r="D31" s="4" t="str" cm="1">
        <f t="array" ref="D31">_xlfn.SWITCH(TRUE(),ABS(C31)&lt;=10,"Fair",ABS(C31)&lt;=20,"Unfair","Highly Discriminative")</f>
        <v>Highly Discriminative</v>
      </c>
      <c r="E31">
        <f>IF(Table1[[#This Row],[Equality class]]="Fair",0,1)</f>
        <v>1</v>
      </c>
      <c r="F31" cm="1">
        <f t="array" ref="F31">_xlfn.SWITCH(TRUE(),Table1[[#This Row],[Equality class]]="Highly Discriminative",2,Table1[[#This Row],[Equality class]]="Unfair",1,0)</f>
        <v>2</v>
      </c>
      <c r="G31" t="str" cm="1">
        <f t="array" ref="G31">_xlfn.SWITCH(TRUE(),Table1[[#This Row],[Equality class]]="Highly Discriminative","Escalate to HR &amp; Legal",Table1[[#This Row],[Equality class]]="Unfair","Review Immediately","Monitor Quarterly")</f>
        <v>Escalate to HR &amp; Legal</v>
      </c>
    </row>
    <row r="32" spans="1:7">
      <c r="A32" s="4" t="s">
        <v>22</v>
      </c>
      <c r="B32" s="4" t="s">
        <v>13</v>
      </c>
      <c r="C32" s="4">
        <v>-19</v>
      </c>
      <c r="D32" s="4" t="str" cm="1">
        <f t="array" ref="D32">_xlfn.SWITCH(TRUE(),ABS(C32)&lt;=10,"Fair",ABS(C32)&lt;=20,"Unfair","Highly Discriminative")</f>
        <v>Unfair</v>
      </c>
      <c r="E32">
        <f>IF(Table1[[#This Row],[Equality class]]="Fair",0,1)</f>
        <v>1</v>
      </c>
      <c r="F32" cm="1">
        <f t="array" ref="F32">_xlfn.SWITCH(TRUE(),Table1[[#This Row],[Equality class]]="Highly Discriminative",2,Table1[[#This Row],[Equality class]]="Unfair",1,0)</f>
        <v>1</v>
      </c>
      <c r="G32" t="str" cm="1">
        <f t="array" ref="G32">_xlfn.SWITCH(TRUE(),Table1[[#This Row],[Equality class]]="Highly Discriminative","Escalate to HR &amp; Legal",Table1[[#This Row],[Equality class]]="Unfair","Review Immediately","Monitor Quarterly")</f>
        <v>Review Immediately</v>
      </c>
    </row>
    <row r="33" spans="1:7">
      <c r="A33" s="4" t="s">
        <v>22</v>
      </c>
      <c r="B33" s="4" t="s">
        <v>14</v>
      </c>
      <c r="C33" s="4">
        <v>-20</v>
      </c>
      <c r="D33" s="4" t="str" cm="1">
        <f t="array" ref="D33">_xlfn.SWITCH(TRUE(),ABS(C33)&lt;=10,"Fair",ABS(C33)&lt;=20,"Unfair","Highly Discriminative")</f>
        <v>Unfair</v>
      </c>
      <c r="E33">
        <f>IF(Table1[[#This Row],[Equality class]]="Fair",0,1)</f>
        <v>1</v>
      </c>
      <c r="F33" cm="1">
        <f t="array" ref="F33">_xlfn.SWITCH(TRUE(),Table1[[#This Row],[Equality class]]="Highly Discriminative",2,Table1[[#This Row],[Equality class]]="Unfair",1,0)</f>
        <v>1</v>
      </c>
      <c r="G33" t="str" cm="1">
        <f t="array" ref="G33">_xlfn.SWITCH(TRUE(),Table1[[#This Row],[Equality class]]="Highly Discriminative","Escalate to HR &amp; Legal",Table1[[#This Row],[Equality class]]="Unfair","Review Immediately","Monitor Quarterly")</f>
        <v>Review Immediately</v>
      </c>
    </row>
    <row r="34" spans="1:7">
      <c r="A34" s="4" t="s">
        <v>22</v>
      </c>
      <c r="B34" s="4" t="s">
        <v>15</v>
      </c>
      <c r="C34" s="4">
        <v>-5</v>
      </c>
      <c r="D34" s="4" t="str" cm="1">
        <f t="array" ref="D34">_xlfn.SWITCH(TRUE(),ABS(C34)&lt;=10,"Fair",ABS(C34)&lt;=20,"Unfair","Highly Discriminative")</f>
        <v>Fair</v>
      </c>
      <c r="E34">
        <f>IF(Table1[[#This Row],[Equality class]]="Fair",0,1)</f>
        <v>0</v>
      </c>
      <c r="F34" cm="1">
        <f t="array" ref="F34">_xlfn.SWITCH(TRUE(),Table1[[#This Row],[Equality class]]="Highly Discriminative",2,Table1[[#This Row],[Equality class]]="Unfair",1,0)</f>
        <v>0</v>
      </c>
      <c r="G34" t="str" cm="1">
        <f t="array" ref="G34">_xlfn.SWITCH(TRUE(),Table1[[#This Row],[Equality class]]="Highly Discriminative","Escalate to HR &amp; Legal",Table1[[#This Row],[Equality class]]="Unfair","Review Immediately","Monitor Quarterly")</f>
        <v>Monitor Quarterly</v>
      </c>
    </row>
    <row r="35" spans="1:7">
      <c r="A35" s="4" t="s">
        <v>22</v>
      </c>
      <c r="B35" s="4" t="s">
        <v>16</v>
      </c>
      <c r="C35" s="4">
        <v>-4</v>
      </c>
      <c r="D35" s="4" t="str" cm="1">
        <f t="array" ref="D35">_xlfn.SWITCH(TRUE(),ABS(C35)&lt;=10,"Fair",ABS(C35)&lt;=20,"Unfair","Highly Discriminative")</f>
        <v>Fair</v>
      </c>
      <c r="E35">
        <f>IF(Table1[[#This Row],[Equality class]]="Fair",0,1)</f>
        <v>0</v>
      </c>
      <c r="F35" cm="1">
        <f t="array" ref="F35">_xlfn.SWITCH(TRUE(),Table1[[#This Row],[Equality class]]="Highly Discriminative",2,Table1[[#This Row],[Equality class]]="Unfair",1,0)</f>
        <v>0</v>
      </c>
      <c r="G35" t="str" cm="1">
        <f t="array" ref="G35">_xlfn.SWITCH(TRUE(),Table1[[#This Row],[Equality class]]="Highly Discriminative","Escalate to HR &amp; Legal",Table1[[#This Row],[Equality class]]="Unfair","Review Immediately","Monitor Quarterly")</f>
        <v>Monitor Quarterly</v>
      </c>
    </row>
    <row r="36" spans="1:7">
      <c r="A36" s="4" t="s">
        <v>22</v>
      </c>
      <c r="B36" s="4" t="s">
        <v>17</v>
      </c>
      <c r="C36" s="4">
        <v>3</v>
      </c>
      <c r="D36" s="4" t="str" cm="1">
        <f t="array" ref="D36">_xlfn.SWITCH(TRUE(),ABS(C36)&lt;=10,"Fair",ABS(C36)&lt;=20,"Unfair","Highly Discriminative")</f>
        <v>Fair</v>
      </c>
      <c r="E36">
        <f>IF(Table1[[#This Row],[Equality class]]="Fair",0,1)</f>
        <v>0</v>
      </c>
      <c r="F36" cm="1">
        <f t="array" ref="F36">_xlfn.SWITCH(TRUE(),Table1[[#This Row],[Equality class]]="Highly Discriminative",2,Table1[[#This Row],[Equality class]]="Unfair",1,0)</f>
        <v>0</v>
      </c>
      <c r="G36" t="str" cm="1">
        <f t="array" ref="G36">_xlfn.SWITCH(TRUE(),Table1[[#This Row],[Equality class]]="Highly Discriminative","Escalate to HR &amp; Legal",Table1[[#This Row],[Equality class]]="Unfair","Review Immediately","Monitor Quarterly")</f>
        <v>Monitor Quarterly</v>
      </c>
    </row>
    <row r="37" spans="1:7">
      <c r="A37" s="4" t="s">
        <v>22</v>
      </c>
      <c r="B37" s="4" t="s">
        <v>18</v>
      </c>
      <c r="C37" s="4">
        <v>-7</v>
      </c>
      <c r="D37" s="4" t="str" cm="1">
        <f t="array" ref="D37">_xlfn.SWITCH(TRUE(),ABS(C37)&lt;=10,"Fair",ABS(C37)&lt;=20,"Unfair","Highly Discriminative")</f>
        <v>Fair</v>
      </c>
      <c r="E37">
        <f>IF(Table1[[#This Row],[Equality class]]="Fair",0,1)</f>
        <v>0</v>
      </c>
      <c r="F37" cm="1">
        <f t="array" ref="F37">_xlfn.SWITCH(TRUE(),Table1[[#This Row],[Equality class]]="Highly Discriminative",2,Table1[[#This Row],[Equality class]]="Unfair",1,0)</f>
        <v>0</v>
      </c>
      <c r="G37" t="str" cm="1">
        <f t="array" ref="G37">_xlfn.SWITCH(TRUE(),Table1[[#This Row],[Equality class]]="Highly Discriminative","Escalate to HR &amp; Legal",Table1[[#This Row],[Equality class]]="Unfair","Review Immediately","Monitor Quarterly")</f>
        <v>Monitor Quarterly</v>
      </c>
    </row>
    <row r="38" spans="1:7">
      <c r="A38" s="4" t="s">
        <v>22</v>
      </c>
      <c r="B38" s="4" t="s">
        <v>19</v>
      </c>
      <c r="C38" s="4">
        <v>-7</v>
      </c>
      <c r="D38" s="4" t="str" cm="1">
        <f t="array" ref="D38">_xlfn.SWITCH(TRUE(),ABS(C38)&lt;=10,"Fair",ABS(C38)&lt;=20,"Unfair","Highly Discriminative")</f>
        <v>Fair</v>
      </c>
      <c r="E38">
        <f>IF(Table1[[#This Row],[Equality class]]="Fair",0,1)</f>
        <v>0</v>
      </c>
      <c r="F38" cm="1">
        <f t="array" ref="F38">_xlfn.SWITCH(TRUE(),Table1[[#This Row],[Equality class]]="Highly Discriminative",2,Table1[[#This Row],[Equality class]]="Unfair",1,0)</f>
        <v>0</v>
      </c>
      <c r="G38" t="str" cm="1">
        <f t="array" ref="G38">_xlfn.SWITCH(TRUE(),Table1[[#This Row],[Equality class]]="Highly Discriminative","Escalate to HR &amp; Legal",Table1[[#This Row],[Equality class]]="Unfair","Review Immediately","Monitor Quarterly")</f>
        <v>Monitor Quarterly</v>
      </c>
    </row>
  </sheetData>
  <conditionalFormatting sqref="D2:D38">
    <cfRule type="containsText" dxfId="14" priority="9" operator="containsText" text="Highly Discriminative">
      <formula>NOT(ISERROR(SEARCH("Highly Discriminative",D2)))</formula>
    </cfRule>
  </conditionalFormatting>
  <conditionalFormatting sqref="D2:D38">
    <cfRule type="containsText" dxfId="13" priority="8" operator="containsText" text="Unfair">
      <formula>NOT(ISERROR(SEARCH("Unfair",D2)))</formula>
    </cfRule>
  </conditionalFormatting>
  <conditionalFormatting sqref="G11">
    <cfRule type="containsText" dxfId="12" priority="6" operator="containsText" text="Unfair">
      <formula>NOT(ISERROR(SEARCH("Unfair",G11)))</formula>
    </cfRule>
  </conditionalFormatting>
  <conditionalFormatting sqref="D2:D38">
    <cfRule type="cellIs" dxfId="11" priority="4" operator="equal">
      <formula>"Fair"</formula>
    </cfRule>
  </conditionalFormatting>
  <conditionalFormatting sqref="G2:G38">
    <cfRule type="cellIs" dxfId="9" priority="3" operator="equal">
      <formula>"Escalate to HR &amp; Legal"</formula>
    </cfRule>
  </conditionalFormatting>
  <conditionalFormatting sqref="G2:G38">
    <cfRule type="cellIs" dxfId="8" priority="2" operator="equal">
      <formula>"Review Immediately"</formula>
    </cfRule>
  </conditionalFormatting>
  <conditionalFormatting sqref="G2:G38">
    <cfRule type="cellIs" dxfId="7" priority="1" operator="equal">
      <formula>"Monitor Quarterly"</formula>
    </cfRule>
  </conditionalFormatting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5" operator="containsText" id="{F3FBA577-1DAC-4C07-9CB4-A70B3E73A5F5}">
            <xm:f>NOT(ISERROR(SEARCH($D$8,G11)))</xm:f>
            <xm:f>$D$8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G11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29F5B3-442E-4EC7-A809-7C4A0673C296}">
  <dimension ref="A3:C19"/>
  <sheetViews>
    <sheetView workbookViewId="0">
      <selection activeCell="H1" sqref="H1"/>
    </sheetView>
  </sheetViews>
  <sheetFormatPr defaultRowHeight="12.75"/>
  <cols>
    <col min="1" max="1" width="26.140625" customWidth="1"/>
    <col min="2" max="2" width="18.140625" bestFit="1" customWidth="1"/>
    <col min="3" max="3" width="21.42578125" bestFit="1" customWidth="1"/>
  </cols>
  <sheetData>
    <row r="3" spans="1:3">
      <c r="A3" s="5" t="s">
        <v>0</v>
      </c>
      <c r="B3" s="5" t="s">
        <v>3</v>
      </c>
      <c r="C3" t="s">
        <v>23</v>
      </c>
    </row>
    <row r="4" spans="1:3">
      <c r="A4" t="s">
        <v>21</v>
      </c>
      <c r="B4" t="s">
        <v>24</v>
      </c>
      <c r="C4" s="6">
        <v>5</v>
      </c>
    </row>
    <row r="5" spans="1:3">
      <c r="B5" t="s">
        <v>25</v>
      </c>
      <c r="C5" s="6">
        <v>3</v>
      </c>
    </row>
    <row r="6" spans="1:3">
      <c r="A6" t="s">
        <v>26</v>
      </c>
      <c r="C6" s="6">
        <v>8</v>
      </c>
    </row>
    <row r="7" spans="1:3">
      <c r="A7" t="s">
        <v>7</v>
      </c>
      <c r="B7" t="s">
        <v>24</v>
      </c>
      <c r="C7" s="6">
        <v>4</v>
      </c>
    </row>
    <row r="8" spans="1:3">
      <c r="B8" t="s">
        <v>27</v>
      </c>
      <c r="C8" s="6">
        <v>3</v>
      </c>
    </row>
    <row r="9" spans="1:3">
      <c r="B9" t="s">
        <v>25</v>
      </c>
      <c r="C9" s="6">
        <v>4</v>
      </c>
    </row>
    <row r="10" spans="1:3">
      <c r="A10" t="s">
        <v>28</v>
      </c>
      <c r="C10" s="6">
        <v>11</v>
      </c>
    </row>
    <row r="11" spans="1:3">
      <c r="A11" t="s">
        <v>20</v>
      </c>
      <c r="B11" t="s">
        <v>24</v>
      </c>
      <c r="C11" s="6">
        <v>5</v>
      </c>
    </row>
    <row r="12" spans="1:3">
      <c r="B12" t="s">
        <v>27</v>
      </c>
      <c r="C12" s="6">
        <v>3</v>
      </c>
    </row>
    <row r="13" spans="1:3">
      <c r="B13" t="s">
        <v>25</v>
      </c>
      <c r="C13" s="6">
        <v>2</v>
      </c>
    </row>
    <row r="14" spans="1:3">
      <c r="A14" t="s">
        <v>29</v>
      </c>
      <c r="C14" s="6">
        <v>10</v>
      </c>
    </row>
    <row r="15" spans="1:3">
      <c r="A15" t="s">
        <v>22</v>
      </c>
      <c r="B15" t="s">
        <v>24</v>
      </c>
      <c r="C15" s="6">
        <v>5</v>
      </c>
    </row>
    <row r="16" spans="1:3">
      <c r="B16" t="s">
        <v>27</v>
      </c>
      <c r="C16" s="6">
        <v>1</v>
      </c>
    </row>
    <row r="17" spans="1:3">
      <c r="B17" t="s">
        <v>25</v>
      </c>
      <c r="C17" s="6">
        <v>2</v>
      </c>
    </row>
    <row r="18" spans="1:3">
      <c r="A18" t="s">
        <v>30</v>
      </c>
      <c r="C18" s="6">
        <v>8</v>
      </c>
    </row>
    <row r="19" spans="1:3">
      <c r="A19" t="s">
        <v>31</v>
      </c>
      <c r="C19" s="6">
        <v>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4419E3-09A9-48A5-B63C-5F582DDF7309}">
  <dimension ref="A3:C15"/>
  <sheetViews>
    <sheetView workbookViewId="0">
      <selection activeCell="B22" sqref="B22"/>
    </sheetView>
  </sheetViews>
  <sheetFormatPr defaultRowHeight="12.75"/>
  <cols>
    <col min="1" max="1" width="17.42578125" bestFit="1" customWidth="1"/>
    <col min="2" max="2" width="23.85546875" style="7" bestFit="1" customWidth="1"/>
    <col min="3" max="3" width="19.42578125" bestFit="1" customWidth="1"/>
  </cols>
  <sheetData>
    <row r="3" spans="1:3">
      <c r="A3" s="5" t="s">
        <v>1</v>
      </c>
      <c r="B3" s="7" t="s">
        <v>32</v>
      </c>
      <c r="C3" t="s">
        <v>33</v>
      </c>
    </row>
    <row r="4" spans="1:3">
      <c r="A4" t="s">
        <v>8</v>
      </c>
      <c r="B4" s="7">
        <v>-25</v>
      </c>
      <c r="C4" s="6">
        <v>2</v>
      </c>
    </row>
    <row r="5" spans="1:3">
      <c r="A5" t="s">
        <v>10</v>
      </c>
      <c r="B5" s="7">
        <v>-22.5</v>
      </c>
      <c r="C5" s="6">
        <v>2</v>
      </c>
    </row>
    <row r="6" spans="1:3">
      <c r="A6" t="s">
        <v>14</v>
      </c>
      <c r="B6" s="7">
        <v>-20.25</v>
      </c>
      <c r="C6" s="6">
        <v>2</v>
      </c>
    </row>
    <row r="7" spans="1:3">
      <c r="A7" t="s">
        <v>12</v>
      </c>
      <c r="B7" s="7">
        <v>-18</v>
      </c>
      <c r="C7" s="6">
        <v>2</v>
      </c>
    </row>
    <row r="8" spans="1:3">
      <c r="A8" t="s">
        <v>13</v>
      </c>
      <c r="B8" s="7">
        <v>-17.5</v>
      </c>
      <c r="C8" s="6">
        <v>2</v>
      </c>
    </row>
    <row r="9" spans="1:3">
      <c r="A9" t="s">
        <v>11</v>
      </c>
      <c r="B9" s="7">
        <v>-14.5</v>
      </c>
      <c r="C9" s="6">
        <v>1</v>
      </c>
    </row>
    <row r="10" spans="1:3">
      <c r="A10" t="s">
        <v>18</v>
      </c>
      <c r="B10" s="7">
        <v>-12</v>
      </c>
      <c r="C10" s="6">
        <v>2</v>
      </c>
    </row>
    <row r="11" spans="1:3">
      <c r="A11" t="s">
        <v>19</v>
      </c>
      <c r="B11" s="7">
        <v>-6.25</v>
      </c>
      <c r="C11" s="6">
        <v>0</v>
      </c>
    </row>
    <row r="12" spans="1:3">
      <c r="A12" t="s">
        <v>16</v>
      </c>
      <c r="B12" s="7">
        <v>-4.25</v>
      </c>
      <c r="C12" s="6">
        <v>0</v>
      </c>
    </row>
    <row r="13" spans="1:3">
      <c r="A13" t="s">
        <v>15</v>
      </c>
      <c r="B13" s="7">
        <v>-2.5</v>
      </c>
      <c r="C13" s="6">
        <v>0</v>
      </c>
    </row>
    <row r="14" spans="1:3">
      <c r="A14" t="s">
        <v>17</v>
      </c>
      <c r="B14" s="7">
        <v>3.5</v>
      </c>
      <c r="C14" s="6">
        <v>0</v>
      </c>
    </row>
    <row r="15" spans="1:3">
      <c r="A15" t="s">
        <v>31</v>
      </c>
      <c r="B15" s="7">
        <v>-11.027027027027026</v>
      </c>
      <c r="C15" s="6">
        <v>2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Jat Brinda</cp:lastModifiedBy>
  <cp:revision>3</cp:revision>
  <dcterms:created xsi:type="dcterms:W3CDTF">2021-06-27T18:07:09Z</dcterms:created>
  <dcterms:modified xsi:type="dcterms:W3CDTF">2026-04-30T05:55:24Z</dcterms:modified>
  <cp:category/>
  <cp:contentStatus/>
</cp:coreProperties>
</file>